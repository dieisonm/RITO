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Cenarios" sheetId="2" state="visible" r:id="rId2"/>
    <sheet xmlns:r="http://schemas.openxmlformats.org/officeDocument/2006/relationships" name="Parcelamento" sheetId="3" state="visible" r:id="rId3"/>
    <sheet xmlns:r="http://schemas.openxmlformats.org/officeDocument/2006/relationships" name="Resumo-Proposta" sheetId="4" state="visible" r:id="rId4"/>
    <sheet xmlns:r="http://schemas.openxmlformats.org/officeDocument/2006/relationships" name="Historico" sheetId="5" state="visible" r:id="rId5"/>
    <sheet xmlns:r="http://schemas.openxmlformats.org/officeDocument/2006/relationships" name="Parametros" sheetId="6" state="visible" r:id="rId6"/>
  </sheets>
  <definedNames>
    <definedName name="_xlnm.Print_Area" localSheetId="3">'Resumo-Proposta'!$A$1:$F$36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x"/>
    <numFmt numFmtId="166" formatCode="dd/mm/yyyy"/>
  </numFmts>
  <fonts count="10">
    <font>
      <name val="Calibri"/>
      <family val="2"/>
      <color theme="1"/>
      <sz val="11"/>
      <scheme val="minor"/>
    </font>
    <font>
      <name val="Sora"/>
      <b val="1"/>
      <color rgb="00FFFFFF"/>
      <sz val="16"/>
    </font>
    <font>
      <name val="Manrope"/>
      <color rgb="00152733"/>
      <sz val="10"/>
    </font>
    <font>
      <name val="Manrope"/>
      <b val="1"/>
      <color rgb="00FFFFFF"/>
      <sz val="10"/>
    </font>
    <font>
      <name val="Sora"/>
      <b val="1"/>
      <color rgb="00FFFFFF"/>
      <sz val="15"/>
    </font>
    <font>
      <name val="Manrope"/>
      <b val="1"/>
      <color rgb="00FFFFFF"/>
      <sz val="11"/>
    </font>
    <font>
      <name val="Manrope"/>
      <b val="1"/>
      <color rgb="00152733"/>
      <sz val="11"/>
    </font>
    <font>
      <name val="Manrope"/>
      <b val="1"/>
      <color rgb="00152733"/>
      <sz val="10"/>
    </font>
    <font>
      <name val="Sora"/>
      <b val="1"/>
      <color rgb="00FFFFFF"/>
      <sz val="14"/>
    </font>
    <font>
      <name val="Manrope"/>
      <i val="1"/>
      <color rgb="005D6B72"/>
      <sz val="10"/>
    </font>
  </fonts>
  <fills count="9">
    <fill>
      <patternFill/>
    </fill>
    <fill>
      <patternFill patternType="gray125"/>
    </fill>
    <fill>
      <patternFill patternType="solid">
        <fgColor rgb="000D2430"/>
      </patternFill>
    </fill>
    <fill>
      <patternFill patternType="solid">
        <fgColor rgb="00F4F0E9"/>
      </patternFill>
    </fill>
    <fill>
      <patternFill patternType="solid">
        <fgColor rgb="00173847"/>
      </patternFill>
    </fill>
    <fill>
      <patternFill patternType="solid">
        <fgColor rgb="00FFF2CC"/>
      </patternFill>
    </fill>
    <fill>
      <patternFill patternType="solid">
        <fgColor rgb="00315161"/>
      </patternFill>
    </fill>
    <fill>
      <patternFill patternType="solid">
        <fgColor rgb="00F7F3EC"/>
      </patternFill>
    </fill>
    <fill>
      <patternFill patternType="solid">
        <fgColor rgb="00FFFDF9"/>
      </patternFill>
    </fill>
  </fills>
  <borders count="2">
    <border>
      <left/>
      <right/>
      <top/>
      <bottom/>
      <diagonal/>
    </border>
    <border>
      <left style="thin">
        <color rgb="00D7D1CA"/>
      </left>
      <right style="thin">
        <color rgb="00D7D1CA"/>
      </right>
      <top style="thin">
        <color rgb="00D7D1CA"/>
      </top>
      <bottom style="thin">
        <color rgb="00D7D1C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2" fillId="5" borderId="1" applyAlignment="1" pivotButton="0" quotePrefix="0" xfId="0">
      <alignment horizontal="left"/>
    </xf>
    <xf numFmtId="0" fontId="3" fillId="6" borderId="1" pivotButton="0" quotePrefix="0" xfId="0"/>
    <xf numFmtId="164" fontId="2" fillId="7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165" fontId="2" fillId="7" borderId="1" applyAlignment="1" pivotButton="0" quotePrefix="0" xfId="0">
      <alignment wrapText="1"/>
    </xf>
    <xf numFmtId="1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2" fillId="8" borderId="1" pivotButton="0" quotePrefix="0" xfId="0"/>
    <xf numFmtId="2" fontId="2" fillId="5" borderId="1" pivotButton="0" quotePrefix="0" xfId="0"/>
    <xf numFmtId="164" fontId="2" fillId="7" borderId="1" pivotButton="0" quotePrefix="0" xfId="0"/>
    <xf numFmtId="2" fontId="2" fillId="7" borderId="1" pivotButton="0" quotePrefix="0" xfId="0"/>
    <xf numFmtId="0" fontId="3" fillId="6" borderId="1" applyAlignment="1" pivotButton="0" quotePrefix="0" xfId="0">
      <alignment wrapText="1"/>
    </xf>
    <xf numFmtId="0" fontId="2" fillId="8" borderId="1" applyAlignment="1" pivotButton="0" quotePrefix="0" xfId="0">
      <alignment wrapText="1"/>
    </xf>
    <xf numFmtId="165" fontId="2" fillId="7" borderId="1" pivotButton="0" quotePrefix="0" xfId="0"/>
    <xf numFmtId="0" fontId="2" fillId="7" borderId="1" pivotButton="0" quotePrefix="0" xfId="0"/>
    <xf numFmtId="0" fontId="4" fillId="2" borderId="1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10" fontId="2" fillId="7" borderId="1" pivotButton="0" quotePrefix="0" xfId="0"/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wrapText="1"/>
    </xf>
    <xf numFmtId="166" fontId="2" fillId="7" borderId="1" applyAlignment="1" pivotButton="0" quotePrefix="0" xfId="0">
      <alignment wrapText="1"/>
    </xf>
    <xf numFmtId="2" fontId="2" fillId="7" borderId="1" applyAlignment="1" pivotButton="0" quotePrefix="0" xfId="0">
      <alignment wrapText="1"/>
    </xf>
    <xf numFmtId="0" fontId="2" fillId="5" borderId="1" applyAlignment="1" pivotButton="0" quotePrefix="0" xfId="0">
      <alignment vertical="top" wrapText="1"/>
    </xf>
    <xf numFmtId="0" fontId="5" fillId="2" borderId="1" pivotButton="0" quotePrefix="0" xfId="0"/>
    <xf numFmtId="164" fontId="6" fillId="7" borderId="1" pivotButton="0" quotePrefix="0" xfId="0"/>
    <xf numFmtId="0" fontId="3" fillId="2" borderId="1" pivotButton="0" quotePrefix="0" xfId="0"/>
    <xf numFmtId="2" fontId="7" fillId="7" borderId="1" pivotButton="0" quotePrefix="0" xfId="0"/>
    <xf numFmtId="164" fontId="7" fillId="7" borderId="1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164" fontId="2" fillId="8" borderId="1" pivotButton="0" quotePrefix="0" xfId="0"/>
    <xf numFmtId="165" fontId="2" fillId="8" borderId="1" pivotButton="0" quotePrefix="0" xfId="0"/>
    <xf numFmtId="1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34" customWidth="1" min="5" max="5"/>
    <col width="3" customWidth="1" min="6" max="6"/>
  </cols>
  <sheetData>
    <row r="1">
      <c r="A1" s="1" t="inlineStr">
        <is>
          <t>Calculadora de Precificação | RITO Sistemas</t>
        </is>
      </c>
    </row>
    <row r="2">
      <c r="A2" s="2" t="inlineStr">
        <is>
          <t>Preencha principalmente as células amarelas. A planilha calcula pacote, cenários de preço e parcelamentos sugeridos automaticamente.</t>
        </is>
      </c>
    </row>
    <row r="4">
      <c r="A4" s="3" t="inlineStr">
        <is>
          <t>Cliente</t>
        </is>
      </c>
      <c r="B4" s="4" t="inlineStr"/>
      <c r="D4" s="5" t="inlineStr">
        <is>
          <t>Faixa mínima</t>
        </is>
      </c>
      <c r="E4" s="6">
        <f>IFERROR(INDEX(Parametros!$Q$5:$Q$11,MATCH($B$6,Parametros!$P$5:$P$11,0)),"")</f>
        <v/>
      </c>
    </row>
    <row r="5">
      <c r="A5" s="3" t="inlineStr">
        <is>
          <t>Projeto</t>
        </is>
      </c>
      <c r="B5" s="4" t="inlineStr"/>
      <c r="D5" s="5" t="inlineStr">
        <is>
          <t>Faixa máxima</t>
        </is>
      </c>
      <c r="E5" s="6">
        <f>IFERROR(INDEX(Parametros!$R$5:$R$11,MATCH($B$6,Parametros!$P$5:$P$11,0)),"")</f>
        <v/>
      </c>
    </row>
    <row r="6">
      <c r="A6" s="3" t="inlineStr">
        <is>
          <t>Tipo de serviço</t>
        </is>
      </c>
      <c r="B6" s="4" t="inlineStr">
        <is>
          <t>Sistema sob medida de pequeno porte</t>
        </is>
      </c>
      <c r="D6" s="5" t="inlineStr">
        <is>
          <t>Status do ideal</t>
        </is>
      </c>
      <c r="E6" s="7">
        <f>IF(OR(E4="",E5=""),"Faixa aberta / usar hora técnica",IF($B$36&lt;E4,"Abaixo da faixa de referência",IF($B$36&gt;E5,"Acima da faixa de referência","Dentro da faixa de referência")))</f>
        <v/>
      </c>
    </row>
    <row r="7">
      <c r="A7" s="3" t="inlineStr">
        <is>
          <t>Pacote comercial</t>
        </is>
      </c>
      <c r="B7" s="4" t="inlineStr">
        <is>
          <t>Operacional</t>
        </is>
      </c>
      <c r="D7" s="5" t="inlineStr">
        <is>
          <t>Multiplicador do pacote</t>
        </is>
      </c>
      <c r="E7" s="8">
        <f>IFERROR(INDEX(Parametros!$U$5:$U$7,MATCH($B$7,Parametros!$T$5:$T$7,0)),1)</f>
        <v/>
      </c>
    </row>
    <row r="8">
      <c r="A8" s="3" t="inlineStr">
        <is>
          <t>Complexidade</t>
        </is>
      </c>
      <c r="B8" s="4" t="inlineStr">
        <is>
          <t>Média</t>
        </is>
      </c>
      <c r="D8" s="5" t="inlineStr">
        <is>
          <t>Descrição do pacote</t>
        </is>
      </c>
      <c r="E8" s="7">
        <f>IFERROR(INDEX(Parametros!$V$5:$V$7,MATCH($B$7,Parametros!$T$5:$T$7,0)),"")</f>
        <v/>
      </c>
    </row>
    <row r="9">
      <c r="A9" s="3" t="inlineStr">
        <is>
          <t>Urgência</t>
        </is>
      </c>
      <c r="B9" s="4" t="inlineStr">
        <is>
          <t>Normal</t>
        </is>
      </c>
      <c r="D9" s="5" t="inlineStr">
        <is>
          <t>Leitura do cenário</t>
        </is>
      </c>
      <c r="E9" s="7">
        <f>IFERROR(INDEX(Parametros!$AA$5:$AA$7,MATCH($B$14,Parametros!$X$5:$X$7,0)),"")</f>
        <v/>
      </c>
    </row>
    <row r="10">
      <c r="A10" s="3" t="inlineStr">
        <is>
          <t>Integrações</t>
        </is>
      </c>
      <c r="B10" s="4" t="inlineStr">
        <is>
          <t>Nenhuma</t>
        </is>
      </c>
      <c r="D10" s="5" t="inlineStr">
        <is>
          <t>Parcelamento sugerido</t>
        </is>
      </c>
      <c r="E10" s="7">
        <f>Parcelamento!$B$6</f>
        <v/>
      </c>
    </row>
    <row r="11">
      <c r="A11" s="3" t="inlineStr">
        <is>
          <t>Documentação extra</t>
        </is>
      </c>
      <c r="B11" s="4" t="inlineStr">
        <is>
          <t>Não</t>
        </is>
      </c>
    </row>
    <row r="12">
      <c r="A12" s="3" t="inlineStr">
        <is>
          <t>Desconto (%)</t>
        </is>
      </c>
      <c r="B12" s="9" t="n">
        <v>0</v>
      </c>
    </row>
    <row r="13">
      <c r="A13" s="3" t="inlineStr">
        <is>
          <t>Custos de terceiros</t>
        </is>
      </c>
      <c r="B13" s="10" t="n">
        <v>0</v>
      </c>
    </row>
    <row r="14">
      <c r="A14" s="3" t="inlineStr">
        <is>
          <t>Cenário preferencial</t>
        </is>
      </c>
      <c r="B14" s="4" t="inlineStr">
        <is>
          <t>Ideal comercial</t>
        </is>
      </c>
    </row>
    <row r="17">
      <c r="A17" s="11" t="inlineStr">
        <is>
          <t>Etapa</t>
        </is>
      </c>
      <c r="B17" s="11" t="inlineStr">
        <is>
          <t>Horas</t>
        </is>
      </c>
      <c r="C17" s="11" t="inlineStr">
        <is>
          <t>Valor/hora base</t>
        </is>
      </c>
      <c r="D17" s="11" t="inlineStr">
        <is>
          <t>Subtotal</t>
        </is>
      </c>
      <c r="E17" s="11" t="inlineStr">
        <is>
          <t>Observação</t>
        </is>
      </c>
    </row>
    <row r="18">
      <c r="A18" s="12" t="inlineStr">
        <is>
          <t>Análise e descoberta</t>
        </is>
      </c>
      <c r="B18" s="13" t="n">
        <v>0</v>
      </c>
      <c r="C18" s="14">
        <f>IFERROR(INDEX(Parametros!$B$5:$B$11,MATCH(A18,Parametros!$A$5:$A$11,0)),0)</f>
        <v/>
      </c>
      <c r="D18" s="14">
        <f>B18*C18</f>
        <v/>
      </c>
      <c r="E18" s="12" t="inlineStr"/>
    </row>
    <row r="19">
      <c r="A19" s="12" t="inlineStr">
        <is>
          <t>Planejamento da solução</t>
        </is>
      </c>
      <c r="B19" s="13" t="n">
        <v>0</v>
      </c>
      <c r="C19" s="14">
        <f>IFERROR(INDEX(Parametros!$B$5:$B$11,MATCH(A19,Parametros!$A$5:$A$11,0)),0)</f>
        <v/>
      </c>
      <c r="D19" s="14">
        <f>B19*C19</f>
        <v/>
      </c>
      <c r="E19" s="12" t="inlineStr"/>
    </row>
    <row r="20">
      <c r="A20" s="12" t="inlineStr">
        <is>
          <t>Desenvolvimento</t>
        </is>
      </c>
      <c r="B20" s="13" t="n">
        <v>0</v>
      </c>
      <c r="C20" s="14">
        <f>IFERROR(INDEX(Parametros!$B$5:$B$11,MATCH(A20,Parametros!$A$5:$A$11,0)),0)</f>
        <v/>
      </c>
      <c r="D20" s="14">
        <f>B20*C20</f>
        <v/>
      </c>
      <c r="E20" s="12" t="inlineStr"/>
    </row>
    <row r="21">
      <c r="A21" s="12" t="inlineStr">
        <is>
          <t>Testes e ajustes</t>
        </is>
      </c>
      <c r="B21" s="13" t="n">
        <v>0</v>
      </c>
      <c r="C21" s="14">
        <f>IFERROR(INDEX(Parametros!$B$5:$B$11,MATCH(A21,Parametros!$A$5:$A$11,0)),0)</f>
        <v/>
      </c>
      <c r="D21" s="14">
        <f>B21*C21</f>
        <v/>
      </c>
      <c r="E21" s="12" t="inlineStr"/>
    </row>
    <row r="22">
      <c r="A22" s="12" t="inlineStr">
        <is>
          <t>Entrega e orientação</t>
        </is>
      </c>
      <c r="B22" s="13" t="n">
        <v>0</v>
      </c>
      <c r="C22" s="14">
        <f>IFERROR(INDEX(Parametros!$B$5:$B$11,MATCH(A22,Parametros!$A$5:$A$11,0)),0)</f>
        <v/>
      </c>
      <c r="D22" s="14">
        <f>B22*C22</f>
        <v/>
      </c>
      <c r="E22" s="12" t="inlineStr"/>
    </row>
    <row r="23">
      <c r="A23" s="12" t="inlineStr">
        <is>
          <t>Suporte inicial</t>
        </is>
      </c>
      <c r="B23" s="13" t="n">
        <v>0</v>
      </c>
      <c r="C23" s="14">
        <f>IFERROR(INDEX(Parametros!$B$5:$B$11,MATCH(A23,Parametros!$A$5:$A$11,0)),0)</f>
        <v/>
      </c>
      <c r="D23" s="14">
        <f>B23*C23</f>
        <v/>
      </c>
      <c r="E23" s="12" t="inlineStr"/>
    </row>
    <row r="24">
      <c r="A24" s="12" t="inlineStr">
        <is>
          <t>Treinamento adicional</t>
        </is>
      </c>
      <c r="B24" s="13" t="n">
        <v>0</v>
      </c>
      <c r="C24" s="14">
        <f>IFERROR(INDEX(Parametros!$B$5:$B$11,MATCH(A24,Parametros!$A$5:$A$11,0)),0)</f>
        <v/>
      </c>
      <c r="D24" s="14">
        <f>B24*C24</f>
        <v/>
      </c>
      <c r="E24" s="12" t="inlineStr"/>
    </row>
    <row r="27">
      <c r="A27" s="5" t="inlineStr">
        <is>
          <t>Horas totais</t>
        </is>
      </c>
      <c r="B27" s="15">
        <f>SUM(B18:B24)</f>
        <v/>
      </c>
      <c r="D27" s="16" t="inlineStr">
        <is>
          <t>Como ler</t>
        </is>
      </c>
      <c r="E27" s="17" t="inlineStr">
        <is>
          <t>Use as horas por etapa como base. O pacote comercial ajusta a proposta ao posicionamento da oferta.</t>
        </is>
      </c>
    </row>
    <row r="28">
      <c r="A28" s="5" t="inlineStr">
        <is>
          <t>Subtotal base</t>
        </is>
      </c>
      <c r="B28" s="14">
        <f>SUM(D18:D24)</f>
        <v/>
      </c>
      <c r="D28" s="16" t="inlineStr">
        <is>
          <t>Pacotes</t>
        </is>
      </c>
      <c r="E28" s="17" t="inlineStr">
        <is>
          <t>Essencial reduz a proposta para algo mais enxuto; Operacional é a base padrão; Sob Medida protege escopo de maior personalização.</t>
        </is>
      </c>
    </row>
    <row r="29">
      <c r="A29" s="5" t="inlineStr">
        <is>
          <t>Multiplicador de complexidade</t>
        </is>
      </c>
      <c r="B29" s="18">
        <f>IFERROR(INDEX(Parametros!$E$5:$E$7,MATCH($B$8,Parametros!$D$5:$D$7,0)),1)</f>
        <v/>
      </c>
      <c r="D29" s="16" t="inlineStr">
        <is>
          <t>Cenários</t>
        </is>
      </c>
      <c r="E29" s="17" t="inlineStr">
        <is>
          <t>Mínimo = limite defensável, Ideal = referência principal, Premium = quando valor percebido, risco ou urgência forem maiores.</t>
        </is>
      </c>
    </row>
    <row r="30">
      <c r="A30" s="5" t="inlineStr">
        <is>
          <t>Multiplicador de urgência</t>
        </is>
      </c>
      <c r="B30" s="18">
        <f>IFERROR(INDEX(Parametros!$H$5:$H$7,MATCH($B$9,Parametros!$G$5:$G$7,0)),1)</f>
        <v/>
      </c>
      <c r="D30" s="16" t="inlineStr">
        <is>
          <t>Desconto</t>
        </is>
      </c>
      <c r="E30" s="17" t="inlineStr">
        <is>
          <t>Só aplicar desconto com justificativa comercial clara. Sempre preferir revisar escopo antes de baixar preço.</t>
        </is>
      </c>
    </row>
    <row r="31">
      <c r="A31" s="5" t="inlineStr">
        <is>
          <t>Multiplicador de integrações</t>
        </is>
      </c>
      <c r="B31" s="18">
        <f>IFERROR(INDEX(Parametros!$K$5:$K$7,MATCH($B$10,Parametros!$J$5:$J$7,0)),1)</f>
        <v/>
      </c>
      <c r="D31" s="16" t="inlineStr">
        <is>
          <t>Faixa de serviço</t>
        </is>
      </c>
      <c r="E31" s="17" t="inlineStr">
        <is>
          <t>Se o ideal ficar muito fora da faixa de referência, revisar escopo, pacote, risco ou tipo de serviço selecionado.</t>
        </is>
      </c>
    </row>
    <row r="32">
      <c r="A32" s="5" t="inlineStr">
        <is>
          <t>Multiplicador de documentação</t>
        </is>
      </c>
      <c r="B32" s="18">
        <f>IFERROR(INDEX(Parametros!$N$5:$N$6,MATCH($B$11,Parametros!$M$5:$M$6,0)),1)</f>
        <v/>
      </c>
    </row>
    <row r="33">
      <c r="A33" s="5" t="inlineStr">
        <is>
          <t>Subtotal técnico ajustado</t>
        </is>
      </c>
      <c r="B33" s="14">
        <f>B28*B29*B30*B31*B32</f>
        <v/>
      </c>
    </row>
    <row r="34">
      <c r="A34" s="5" t="inlineStr">
        <is>
          <t>Base comercial do pacote</t>
        </is>
      </c>
      <c r="B34" s="14">
        <f>B33*IFERROR(INDEX(Parametros!$U$5:$U$7,MATCH($B$7,Parametros!$T$5:$T$7,0)),1)</f>
        <v/>
      </c>
    </row>
    <row r="35">
      <c r="A35" s="3" t="inlineStr">
        <is>
          <t>Mínimo defensável</t>
        </is>
      </c>
      <c r="B35" s="14">
        <f>Cenarios!H8</f>
        <v/>
      </c>
    </row>
    <row r="36">
      <c r="A36" s="3" t="inlineStr">
        <is>
          <t>Ideal comercial</t>
        </is>
      </c>
      <c r="B36" s="14">
        <f>Cenarios!H9</f>
        <v/>
      </c>
    </row>
    <row r="37">
      <c r="A37" s="3" t="inlineStr">
        <is>
          <t>Premium estratégico</t>
        </is>
      </c>
      <c r="B37" s="14">
        <f>Cenarios!H10</f>
        <v/>
      </c>
    </row>
    <row r="38">
      <c r="A38" s="3" t="inlineStr">
        <is>
          <t>Preço do cenário preferencial</t>
        </is>
      </c>
      <c r="B38" s="14">
        <f>IFERROR(INDEX(Cenarios!$H$8:$H$10,MATCH($B$14,Cenarios!$A$8:$A$10,0)),0)</f>
        <v/>
      </c>
    </row>
    <row r="39">
      <c r="A39" s="3" t="inlineStr">
        <is>
          <t>Valor/hora ideal</t>
        </is>
      </c>
      <c r="B39" s="14">
        <f>Cenarios!I9</f>
        <v/>
      </c>
    </row>
    <row r="40">
      <c r="A40" s="3" t="inlineStr">
        <is>
          <t>Modelo de parcelamento sugerido</t>
        </is>
      </c>
      <c r="B40" s="19">
        <f>Parcelamento!$B$6</f>
        <v/>
      </c>
    </row>
  </sheetData>
  <mergeCells count="2">
    <mergeCell ref="A2:F2"/>
    <mergeCell ref="A1:F1"/>
  </mergeCells>
  <dataValidations count="7">
    <dataValidation sqref="B6" showDropDown="0" showInputMessage="0" showErrorMessage="0" allowBlank="0" error="Selecione um valor da lista." prompt="Escolha uma opção predefinida." type="list">
      <formula1>=Parametros!$P$5:$P$11</formula1>
    </dataValidation>
    <dataValidation sqref="B7" showDropDown="0" showInputMessage="0" showErrorMessage="0" allowBlank="0" error="Selecione um valor da lista." prompt="Escolha uma opção predefinida." type="list">
      <formula1>=Parametros!$T$5:$T$7</formula1>
    </dataValidation>
    <dataValidation sqref="B8" showDropDown="0" showInputMessage="0" showErrorMessage="0" allowBlank="0" error="Selecione um valor da lista." prompt="Escolha uma opção predefinida." type="list">
      <formula1>=Parametros!$D$5:$D$7</formula1>
    </dataValidation>
    <dataValidation sqref="B9" showDropDown="0" showInputMessage="0" showErrorMessage="0" allowBlank="0" error="Selecione um valor da lista." prompt="Escolha uma opção predefinida." type="list">
      <formula1>=Parametros!$G$5:$G$7</formula1>
    </dataValidation>
    <dataValidation sqref="B10" showDropDown="0" showInputMessage="0" showErrorMessage="0" allowBlank="0" error="Selecione um valor da lista." prompt="Escolha uma opção predefinida." type="list">
      <formula1>=Parametros!$J$5:$J$7</formula1>
    </dataValidation>
    <dataValidation sqref="B11" showDropDown="0" showInputMessage="0" showErrorMessage="0" allowBlank="0" error="Selecione um valor da lista." prompt="Escolha uma opção predefinida." type="list">
      <formula1>=Parametros!$M$5:$M$6</formula1>
    </dataValidation>
    <dataValidation sqref="B14" showDropDown="0" showInputMessage="0" showErrorMessage="0" allowBlank="0" error="Selecione um valor da lista." prompt="Escolha uma opção predefinida." type="list">
      <formula1>=Parametros!$X$5:$X$7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7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20" customWidth="1" min="10" max="10"/>
    <col width="42" customWidth="1" min="11" max="11"/>
  </cols>
  <sheetData>
    <row r="1">
      <c r="A1" s="20" t="inlineStr">
        <is>
          <t>Comparação de Cenários e Pacotes</t>
        </is>
      </c>
    </row>
    <row r="2">
      <c r="A2" s="21" t="inlineStr">
        <is>
          <t>Esta aba compara os cenários de preço para o pacote selecionado e mostra a diferença entre Essencial, Operacional e Sob Medida no cenário ideal.</t>
        </is>
      </c>
    </row>
    <row r="4">
      <c r="A4" s="5" t="inlineStr">
        <is>
          <t>Projeto</t>
        </is>
      </c>
      <c r="B4" s="19">
        <f>Calculadora!B5</f>
        <v/>
      </c>
      <c r="D4" s="5" t="inlineStr">
        <is>
          <t>Pacote selecionado</t>
        </is>
      </c>
      <c r="E4" s="19">
        <f>Calculadora!B7</f>
        <v/>
      </c>
    </row>
    <row r="5">
      <c r="A5" s="5" t="inlineStr">
        <is>
          <t>Tipo de serviço</t>
        </is>
      </c>
      <c r="B5" s="19">
        <f>Calculadora!B6</f>
        <v/>
      </c>
      <c r="D5" s="5" t="inlineStr">
        <is>
          <t>Base comercial do pacote</t>
        </is>
      </c>
      <c r="E5" s="14">
        <f>Calculadora!B34</f>
        <v/>
      </c>
    </row>
    <row r="7">
      <c r="A7" s="22" t="inlineStr">
        <is>
          <t>Cenário</t>
        </is>
      </c>
      <c r="B7" s="22" t="inlineStr">
        <is>
          <t>Margem</t>
        </is>
      </c>
      <c r="C7" s="22" t="inlineStr">
        <is>
          <t>Mult. comercial</t>
        </is>
      </c>
      <c r="D7" s="22" t="inlineStr">
        <is>
          <t>Base do pacote</t>
        </is>
      </c>
      <c r="E7" s="22" t="inlineStr">
        <is>
          <t>Serviços antes do desconto</t>
        </is>
      </c>
      <c r="F7" s="22" t="inlineStr">
        <is>
          <t>Desconto</t>
        </is>
      </c>
      <c r="G7" s="22" t="inlineStr">
        <is>
          <t>Custos terceiros</t>
        </is>
      </c>
      <c r="H7" s="22" t="inlineStr">
        <is>
          <t>Total final</t>
        </is>
      </c>
      <c r="I7" s="22" t="inlineStr">
        <is>
          <t>Valor/hora</t>
        </is>
      </c>
      <c r="J7" s="22" t="inlineStr">
        <is>
          <t>Status vs faixa</t>
        </is>
      </c>
      <c r="K7" s="22" t="inlineStr">
        <is>
          <t>Uso sugerido</t>
        </is>
      </c>
    </row>
    <row r="8">
      <c r="A8" s="17">
        <f>Parametros!X5</f>
        <v/>
      </c>
      <c r="B8" s="23">
        <f>Parametros!Y5</f>
        <v/>
      </c>
      <c r="C8" s="18">
        <f>Parametros!Z5</f>
        <v/>
      </c>
      <c r="D8" s="14">
        <f>Calculadora!$B$34</f>
        <v/>
      </c>
      <c r="E8" s="14">
        <f>(D8*C8)*(1+B8)</f>
        <v/>
      </c>
      <c r="F8" s="14">
        <f>E8*Calculadora!$B$12</f>
        <v/>
      </c>
      <c r="G8" s="14">
        <f>Calculadora!$B$13</f>
        <v/>
      </c>
      <c r="H8" s="14">
        <f>E8-F8+G8</f>
        <v/>
      </c>
      <c r="I8" s="14">
        <f>IFERROR(H8/Calculadora!$B$27,0)</f>
        <v/>
      </c>
      <c r="J8" s="17">
        <f>IF(OR(Calculadora!$E$4="",Calculadora!$E$5=""),"Faixa aberta / usar hora técnica",IF(H8&lt;Calculadora!$E$4,"Abaixo da faixa",IF(H8&gt;Calculadora!$E$5,"Acima da faixa","Dentro da faixa")))</f>
        <v/>
      </c>
      <c r="K8" s="17">
        <f>Parametros!AA5</f>
        <v/>
      </c>
    </row>
    <row r="9">
      <c r="A9" s="17">
        <f>Parametros!X6</f>
        <v/>
      </c>
      <c r="B9" s="23">
        <f>Parametros!Y6</f>
        <v/>
      </c>
      <c r="C9" s="18">
        <f>Parametros!Z6</f>
        <v/>
      </c>
      <c r="D9" s="14">
        <f>Calculadora!$B$34</f>
        <v/>
      </c>
      <c r="E9" s="14">
        <f>(D9*C9)*(1+B9)</f>
        <v/>
      </c>
      <c r="F9" s="14">
        <f>E9*Calculadora!$B$12</f>
        <v/>
      </c>
      <c r="G9" s="14">
        <f>Calculadora!$B$13</f>
        <v/>
      </c>
      <c r="H9" s="14">
        <f>E9-F9+G9</f>
        <v/>
      </c>
      <c r="I9" s="14">
        <f>IFERROR(H9/Calculadora!$B$27,0)</f>
        <v/>
      </c>
      <c r="J9" s="17">
        <f>IF(OR(Calculadora!$E$4="",Calculadora!$E$5=""),"Faixa aberta / usar hora técnica",IF(H9&lt;Calculadora!$E$4,"Abaixo da faixa",IF(H9&gt;Calculadora!$E$5,"Acima da faixa","Dentro da faixa")))</f>
        <v/>
      </c>
      <c r="K9" s="17">
        <f>Parametros!AA6</f>
        <v/>
      </c>
    </row>
    <row r="10">
      <c r="A10" s="17">
        <f>Parametros!X7</f>
        <v/>
      </c>
      <c r="B10" s="23">
        <f>Parametros!Y7</f>
        <v/>
      </c>
      <c r="C10" s="18">
        <f>Parametros!Z7</f>
        <v/>
      </c>
      <c r="D10" s="14">
        <f>Calculadora!$B$34</f>
        <v/>
      </c>
      <c r="E10" s="14">
        <f>(D10*C10)*(1+B10)</f>
        <v/>
      </c>
      <c r="F10" s="14">
        <f>E10*Calculadora!$B$12</f>
        <v/>
      </c>
      <c r="G10" s="14">
        <f>Calculadora!$B$13</f>
        <v/>
      </c>
      <c r="H10" s="14">
        <f>E10-F10+G10</f>
        <v/>
      </c>
      <c r="I10" s="14">
        <f>IFERROR(H10/Calculadora!$B$27,0)</f>
        <v/>
      </c>
      <c r="J10" s="17">
        <f>IF(OR(Calculadora!$E$4="",Calculadora!$E$5=""),"Faixa aberta / usar hora técnica",IF(H10&lt;Calculadora!$E$4,"Abaixo da faixa",IF(H10&gt;Calculadora!$E$5,"Acima da faixa","Dentro da faixa")))</f>
        <v/>
      </c>
      <c r="K10" s="17">
        <f>Parametros!AA7</f>
        <v/>
      </c>
    </row>
    <row r="13">
      <c r="A13" s="22" t="inlineStr">
        <is>
          <t>Pacote</t>
        </is>
      </c>
      <c r="B13" s="22" t="inlineStr">
        <is>
          <t>Multiplicador</t>
        </is>
      </c>
      <c r="C13" s="22" t="inlineStr">
        <is>
          <t>Total ideal</t>
        </is>
      </c>
      <c r="D13" s="22" t="inlineStr">
        <is>
          <t>Leitura</t>
        </is>
      </c>
    </row>
    <row r="14">
      <c r="A14" s="12">
        <f>Parametros!T5</f>
        <v/>
      </c>
      <c r="B14" s="18">
        <f>Parametros!U5</f>
        <v/>
      </c>
      <c r="C14" s="14">
        <f>(((Calculadora!$B$33*B14)*INDEX(Parametros!$Z$5:$Z$7,MATCH("Ideal comercial",Parametros!$X$5:$X$7,0)))*(1+INDEX(Parametros!$Y$5:$Y$7,MATCH("Ideal comercial",Parametros!$X$5:$X$7,0))))-((((Calculadora!$B$33*B14)*INDEX(Parametros!$Z$5:$Z$7,MATCH("Ideal comercial",Parametros!$X$5:$X$7,0)))*(1+INDEX(Parametros!$Y$5:$Y$7,MATCH("Ideal comercial",Parametros!$X$5:$X$7,0))))*Calculadora!$B$12)+Calculadora!$B$13</f>
        <v/>
      </c>
      <c r="D14" s="17">
        <f>Parametros!V5</f>
        <v/>
      </c>
    </row>
    <row r="15">
      <c r="A15" s="12">
        <f>Parametros!T6</f>
        <v/>
      </c>
      <c r="B15" s="18">
        <f>Parametros!U6</f>
        <v/>
      </c>
      <c r="C15" s="14">
        <f>(((Calculadora!$B$33*B15)*INDEX(Parametros!$Z$5:$Z$7,MATCH("Ideal comercial",Parametros!$X$5:$X$7,0)))*(1+INDEX(Parametros!$Y$5:$Y$7,MATCH("Ideal comercial",Parametros!$X$5:$X$7,0))))-((((Calculadora!$B$33*B15)*INDEX(Parametros!$Z$5:$Z$7,MATCH("Ideal comercial",Parametros!$X$5:$X$7,0)))*(1+INDEX(Parametros!$Y$5:$Y$7,MATCH("Ideal comercial",Parametros!$X$5:$X$7,0))))*Calculadora!$B$12)+Calculadora!$B$13</f>
        <v/>
      </c>
      <c r="D15" s="17">
        <f>Parametros!V6</f>
        <v/>
      </c>
    </row>
    <row r="16">
      <c r="A16" s="12">
        <f>Parametros!T7</f>
        <v/>
      </c>
      <c r="B16" s="18">
        <f>Parametros!U7</f>
        <v/>
      </c>
      <c r="C16" s="14">
        <f>(((Calculadora!$B$33*B16)*INDEX(Parametros!$Z$5:$Z$7,MATCH("Ideal comercial",Parametros!$X$5:$X$7,0)))*(1+INDEX(Parametros!$Y$5:$Y$7,MATCH("Ideal comercial",Parametros!$X$5:$X$7,0))))-((((Calculadora!$B$33*B16)*INDEX(Parametros!$Z$5:$Z$7,MATCH("Ideal comercial",Parametros!$X$5:$X$7,0)))*(1+INDEX(Parametros!$Y$5:$Y$7,MATCH("Ideal comercial",Parametros!$X$5:$X$7,0))))*Calculadora!$B$12)+Calculadora!$B$13</f>
        <v/>
      </c>
      <c r="D16" s="17">
        <f>Parametros!V7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4" customWidth="1" min="5" max="5"/>
    <col width="12" customWidth="1" min="6" max="6"/>
    <col width="16" customWidth="1" min="7" max="7"/>
    <col width="24" customWidth="1" min="9" max="9"/>
    <col width="12" customWidth="1" min="10" max="10"/>
    <col width="16" customWidth="1" min="11" max="11"/>
  </cols>
  <sheetData>
    <row r="1">
      <c r="A1" s="20" t="inlineStr">
        <is>
          <t>Simulação de Parcelamento por Marcos</t>
        </is>
      </c>
    </row>
    <row r="2">
      <c r="A2" s="21" t="inlineStr">
        <is>
          <t>Escolha o cenário-base e compare os modelos de 2, 3 e 4 marcos. O total vem automaticamente da aba de cenários.</t>
        </is>
      </c>
    </row>
    <row r="4">
      <c r="A4" s="3" t="inlineStr">
        <is>
          <t>Cenário-base</t>
        </is>
      </c>
      <c r="B4" s="19">
        <f>Calculadora!$B$14</f>
        <v/>
      </c>
    </row>
    <row r="5">
      <c r="A5" s="3" t="inlineStr">
        <is>
          <t>Total da proposta</t>
        </is>
      </c>
      <c r="B5" s="14">
        <f>IFERROR(INDEX(Cenarios!$H$8:$H$10,MATCH($B$4,Cenarios!$A$8:$A$10,0)),0)</f>
        <v/>
      </c>
    </row>
    <row r="6">
      <c r="A6" s="3" t="inlineStr">
        <is>
          <t>Modelo sugerido</t>
        </is>
      </c>
      <c r="B6" s="19">
        <f>IF(B5&lt;=5000,"2 marcos",IF(B5&lt;=15000,"3 marcos","4 marcos"))</f>
        <v/>
      </c>
    </row>
    <row r="7">
      <c r="A7" s="3" t="inlineStr">
        <is>
          <t>Valor/hora do cenário</t>
        </is>
      </c>
      <c r="B7" s="14">
        <f>IFERROR(INDEX(Cenarios!$I$8:$I$10,MATCH($B$4,Cenarios!$A$8:$A$10,0)),0)</f>
        <v/>
      </c>
    </row>
    <row r="8">
      <c r="A8" s="3" t="inlineStr">
        <is>
          <t>Status vs faixa</t>
        </is>
      </c>
      <c r="B8" s="7">
        <f>IFERROR(INDEX(Cenarios!$J$8:$J$10,MATCH($B$4,Cenarios!$A$8:$A$10,0)),"")</f>
        <v/>
      </c>
    </row>
    <row r="10">
      <c r="A10" s="22" t="inlineStr">
        <is>
          <t>Modelo 2 marcos</t>
        </is>
      </c>
      <c r="B10" s="22" t="inlineStr">
        <is>
          <t>%</t>
        </is>
      </c>
      <c r="C10" s="22" t="inlineStr">
        <is>
          <t>Valor</t>
        </is>
      </c>
      <c r="E10" s="22" t="inlineStr">
        <is>
          <t>Modelo 3 marcos</t>
        </is>
      </c>
      <c r="F10" s="22" t="inlineStr">
        <is>
          <t>%</t>
        </is>
      </c>
      <c r="G10" s="22" t="inlineStr">
        <is>
          <t>Valor</t>
        </is>
      </c>
      <c r="I10" s="22" t="inlineStr">
        <is>
          <t>Modelo 4 marcos</t>
        </is>
      </c>
      <c r="J10" s="22" t="inlineStr">
        <is>
          <t>%</t>
        </is>
      </c>
      <c r="K10" s="22" t="inlineStr">
        <is>
          <t>Valor</t>
        </is>
      </c>
    </row>
    <row r="11">
      <c r="A11" s="12" t="inlineStr">
        <is>
          <t>Entrada</t>
        </is>
      </c>
      <c r="B11" s="23">
        <f>Parametros!$AD$5</f>
        <v/>
      </c>
      <c r="C11" s="14">
        <f>$B11*$B$5</f>
        <v/>
      </c>
      <c r="E11" s="12" t="inlineStr">
        <is>
          <t>Entrada</t>
        </is>
      </c>
      <c r="F11" s="23">
        <f>Parametros!$AD$6</f>
        <v/>
      </c>
      <c r="G11" s="14">
        <f>$F11*$B$5</f>
        <v/>
      </c>
      <c r="I11" s="12" t="inlineStr">
        <is>
          <t>Entrada</t>
        </is>
      </c>
      <c r="J11" s="23">
        <f>Parametros!$AD$7</f>
        <v/>
      </c>
      <c r="K11" s="14">
        <f>$J11*$B$5</f>
        <v/>
      </c>
    </row>
    <row r="12">
      <c r="A12" s="12" t="inlineStr">
        <is>
          <t>Entrega final</t>
        </is>
      </c>
      <c r="B12" s="23">
        <f>Parametros!$AE$5</f>
        <v/>
      </c>
      <c r="C12" s="14">
        <f>$B12*$B$5</f>
        <v/>
      </c>
      <c r="E12" s="12" t="inlineStr">
        <is>
          <t>Marco intermediário</t>
        </is>
      </c>
      <c r="F12" s="23">
        <f>Parametros!$AE$6</f>
        <v/>
      </c>
      <c r="G12" s="14">
        <f>$F12*$B$5</f>
        <v/>
      </c>
      <c r="I12" s="12" t="inlineStr">
        <is>
          <t>Planejamento aprovado</t>
        </is>
      </c>
      <c r="J12" s="23">
        <f>Parametros!$AE$7</f>
        <v/>
      </c>
      <c r="K12" s="14">
        <f>$J12*$B$5</f>
        <v/>
      </c>
    </row>
    <row r="13">
      <c r="A13" s="5" t="inlineStr">
        <is>
          <t>Total</t>
        </is>
      </c>
      <c r="B13" s="23">
        <f>SUM(B11:B12)</f>
        <v/>
      </c>
      <c r="C13" s="14">
        <f>SUM(C11:C12)</f>
        <v/>
      </c>
      <c r="E13" s="12" t="inlineStr">
        <is>
          <t>Entrega final</t>
        </is>
      </c>
      <c r="F13" s="23">
        <f>Parametros!$AF$6</f>
        <v/>
      </c>
      <c r="G13" s="14">
        <f>$F13*$B$5</f>
        <v/>
      </c>
      <c r="I13" s="12" t="inlineStr">
        <is>
          <t>Primeira entrega</t>
        </is>
      </c>
      <c r="J13" s="23">
        <f>Parametros!$AF$7</f>
        <v/>
      </c>
      <c r="K13" s="14">
        <f>$J13*$B$5</f>
        <v/>
      </c>
    </row>
    <row r="14">
      <c r="E14" s="5" t="inlineStr">
        <is>
          <t>Total</t>
        </is>
      </c>
      <c r="F14" s="23">
        <f>SUM(F11:F13)</f>
        <v/>
      </c>
      <c r="G14" s="14">
        <f>SUM(G11:G13)</f>
        <v/>
      </c>
      <c r="I14" s="12" t="inlineStr">
        <is>
          <t>Entrega final</t>
        </is>
      </c>
      <c r="J14" s="23">
        <f>Parametros!$AG$7</f>
        <v/>
      </c>
      <c r="K14" s="14">
        <f>$J14*$B$5</f>
        <v/>
      </c>
    </row>
    <row r="15">
      <c r="I15" s="5" t="inlineStr">
        <is>
          <t>Total</t>
        </is>
      </c>
      <c r="J15" s="23">
        <f>SUM(J11:J14)</f>
        <v/>
      </c>
      <c r="K15" s="14">
        <f>SUM(K11:K14)</f>
        <v/>
      </c>
    </row>
    <row r="18">
      <c r="A18" s="5" t="inlineStr">
        <is>
          <t>Leitura</t>
        </is>
      </c>
      <c r="B18" s="17" t="inlineStr">
        <is>
          <t>2 marcos funciona melhor para propostas menores. 3 marcos é a estrutura padrão mais equilibrada. 4 marcos ajuda a proteger caixa e risco em projetos maiores.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2" customWidth="1" min="4" max="4"/>
    <col width="24" customWidth="1" min="5" max="5"/>
    <col width="18" customWidth="1" min="6" max="6"/>
  </cols>
  <sheetData>
    <row r="1">
      <c r="A1" s="1" t="inlineStr">
        <is>
          <t>Resumo de Orçamento e Proposta</t>
        </is>
      </c>
    </row>
    <row r="2">
      <c r="A2" s="24" t="inlineStr">
        <is>
          <t>Esta aba foi desenhada para revisão rápida e exportação em PDF direto pelo Excel.</t>
        </is>
      </c>
    </row>
    <row r="4">
      <c r="A4" s="5" t="inlineStr">
        <is>
          <t>Cliente</t>
        </is>
      </c>
      <c r="B4" s="7">
        <f>Calculadora!B4</f>
        <v/>
      </c>
      <c r="D4" s="5" t="inlineStr">
        <is>
          <t>Prazo estimado</t>
        </is>
      </c>
      <c r="E4" s="25" t="inlineStr"/>
    </row>
    <row r="5">
      <c r="A5" s="5" t="inlineStr">
        <is>
          <t>Projeto</t>
        </is>
      </c>
      <c r="B5" s="7">
        <f>Calculadora!B5</f>
        <v/>
      </c>
      <c r="D5" s="5" t="inlineStr">
        <is>
          <t>Validade da proposta</t>
        </is>
      </c>
      <c r="E5" s="25" t="inlineStr"/>
    </row>
    <row r="6">
      <c r="A6" s="5" t="inlineStr">
        <is>
          <t>Tipo de serviço</t>
        </is>
      </c>
      <c r="B6" s="7">
        <f>Calculadora!B6</f>
        <v/>
      </c>
      <c r="D6" s="5" t="inlineStr">
        <is>
          <t>Data de emissão</t>
        </is>
      </c>
      <c r="E6" s="26">
        <f>TODAY()</f>
        <v/>
      </c>
    </row>
    <row r="7">
      <c r="A7" s="5" t="inlineStr">
        <is>
          <t>Pacote comercial</t>
        </is>
      </c>
      <c r="B7" s="7">
        <f>Calculadora!B7</f>
        <v/>
      </c>
      <c r="D7" s="5" t="inlineStr">
        <is>
          <t>Modelo de parcelamento</t>
        </is>
      </c>
      <c r="E7" s="7">
        <f>Parcelamento!B6</f>
        <v/>
      </c>
    </row>
    <row r="8">
      <c r="A8" s="5" t="inlineStr">
        <is>
          <t>Cenário adotado</t>
        </is>
      </c>
      <c r="B8" s="7">
        <f>Calculadora!B14</f>
        <v/>
      </c>
      <c r="D8" s="5" t="inlineStr">
        <is>
          <t>Parcela 1</t>
        </is>
      </c>
      <c r="E8" s="6">
        <f>IF(E7="2 marcos",Parcelamento!C11,IF(E7="3 marcos",Parcelamento!G11,Parcelamento!K11))</f>
        <v/>
      </c>
    </row>
    <row r="9">
      <c r="A9" s="5" t="inlineStr">
        <is>
          <t>Investimento sugerido</t>
        </is>
      </c>
      <c r="B9" s="6">
        <f>Calculadora!B38</f>
        <v/>
      </c>
      <c r="D9" s="5" t="inlineStr">
        <is>
          <t>Parcela 2</t>
        </is>
      </c>
      <c r="E9" s="6">
        <f>IF(E7="2 marcos",Parcelamento!C12,IF(E7="3 marcos",Parcelamento!G12,Parcelamento!K12))</f>
        <v/>
      </c>
    </row>
    <row r="10">
      <c r="A10" s="5" t="inlineStr">
        <is>
          <t>Horas estimadas</t>
        </is>
      </c>
      <c r="B10" s="27">
        <f>Calculadora!B27</f>
        <v/>
      </c>
      <c r="D10" s="5" t="inlineStr">
        <is>
          <t>Parcela 3/4</t>
        </is>
      </c>
      <c r="E10" s="7">
        <f>IF(E7="2 marcos","",IF(E7="3 marcos",Parcelamento!G13,Parcelamento!K13&amp;" / "&amp;TEXT(Parcelamento!K14,"R$ #,##0.00")))</f>
        <v/>
      </c>
    </row>
    <row r="12">
      <c r="A12" s="3" t="inlineStr">
        <is>
          <t>Resumo da demanda</t>
        </is>
      </c>
    </row>
    <row r="13">
      <c r="A13" s="28" t="inlineStr"/>
    </row>
    <row r="14"/>
    <row r="15"/>
    <row r="17">
      <c r="A17" s="3" t="inlineStr">
        <is>
          <t>Solução sugerida</t>
        </is>
      </c>
    </row>
    <row r="18">
      <c r="A18" s="28" t="inlineStr"/>
    </row>
    <row r="19"/>
    <row r="20"/>
    <row r="22">
      <c r="A22" s="3" t="inlineStr">
        <is>
          <t>Composição do investimento</t>
        </is>
      </c>
      <c r="D22" s="3" t="inlineStr">
        <is>
          <t>Observações comerciais</t>
        </is>
      </c>
    </row>
    <row r="23">
      <c r="A23" s="22" t="inlineStr">
        <is>
          <t>Etapa</t>
        </is>
      </c>
      <c r="B23" s="22" t="inlineStr">
        <is>
          <t>Horas</t>
        </is>
      </c>
      <c r="C23" s="22" t="inlineStr">
        <is>
          <t>Subtotal</t>
        </is>
      </c>
      <c r="D23" s="28" t="inlineStr">
        <is>
          <t>Use este espaço para registrar premissas, limites de escopo, dependências ou ressalvas importantes antes de exportar.</t>
        </is>
      </c>
    </row>
    <row r="24">
      <c r="A24" s="12">
        <f>Calculadora!A18</f>
        <v/>
      </c>
      <c r="B24" s="15">
        <f>Calculadora!B18</f>
        <v/>
      </c>
      <c r="C24" s="14">
        <f>Calculadora!D18</f>
        <v/>
      </c>
    </row>
    <row r="25">
      <c r="A25" s="12">
        <f>Calculadora!A19</f>
        <v/>
      </c>
      <c r="B25" s="15">
        <f>Calculadora!B19</f>
        <v/>
      </c>
      <c r="C25" s="14">
        <f>Calculadora!D19</f>
        <v/>
      </c>
    </row>
    <row r="26">
      <c r="A26" s="12">
        <f>Calculadora!A20</f>
        <v/>
      </c>
      <c r="B26" s="15">
        <f>Calculadora!B20</f>
        <v/>
      </c>
      <c r="C26" s="14">
        <f>Calculadora!D20</f>
        <v/>
      </c>
    </row>
    <row r="27">
      <c r="A27" s="12">
        <f>Calculadora!A21</f>
        <v/>
      </c>
      <c r="B27" s="15">
        <f>Calculadora!B21</f>
        <v/>
      </c>
      <c r="C27" s="14">
        <f>Calculadora!D21</f>
        <v/>
      </c>
    </row>
    <row r="28">
      <c r="A28" s="12">
        <f>Calculadora!A22</f>
        <v/>
      </c>
      <c r="B28" s="15">
        <f>Calculadora!B22</f>
        <v/>
      </c>
      <c r="C28" s="14">
        <f>Calculadora!D22</f>
        <v/>
      </c>
    </row>
    <row r="29">
      <c r="A29" s="12">
        <f>Calculadora!A23</f>
        <v/>
      </c>
      <c r="B29" s="15">
        <f>Calculadora!B23</f>
        <v/>
      </c>
      <c r="C29" s="14">
        <f>Calculadora!D23</f>
        <v/>
      </c>
      <c r="D29" s="3" t="inlineStr">
        <is>
          <t>Próximo passo sugerido</t>
        </is>
      </c>
    </row>
    <row r="30">
      <c r="A30" s="12">
        <f>Calculadora!A24</f>
        <v/>
      </c>
      <c r="B30" s="15">
        <f>Calculadora!B24</f>
        <v/>
      </c>
      <c r="C30" s="14">
        <f>Calculadora!D24</f>
        <v/>
      </c>
      <c r="D30" s="28" t="inlineStr">
        <is>
          <t>Após validar este resumo, leve o cenário escolhido para a proposta comercial final.</t>
        </is>
      </c>
    </row>
    <row r="31">
      <c r="A31" s="29" t="inlineStr">
        <is>
          <t>Total do cenário</t>
        </is>
      </c>
      <c r="B31" s="30">
        <f>Calculadora!B38</f>
        <v/>
      </c>
    </row>
    <row r="32"/>
    <row r="33"/>
    <row r="35">
      <c r="A35" s="5" t="inlineStr">
        <is>
          <t>Exportação</t>
        </is>
      </c>
      <c r="B35" s="17" t="inlineStr">
        <is>
          <t>Depois de revisar esta aba, exporte somente `Resumo-Proposta` em PDF pelo Excel para gerar um orçamento-resumo limpo.</t>
        </is>
      </c>
    </row>
  </sheetData>
  <mergeCells count="7">
    <mergeCell ref="D30:F33"/>
    <mergeCell ref="A2:F2"/>
    <mergeCell ref="D23:F27"/>
    <mergeCell ref="A18:F20"/>
    <mergeCell ref="A1:F1"/>
    <mergeCell ref="A13:F15"/>
    <mergeCell ref="B35:F35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8" customWidth="1" min="8" max="8"/>
    <col width="18" customWidth="1" min="9" max="9"/>
    <col width="18" customWidth="1" min="10" max="10"/>
  </cols>
  <sheetData>
    <row r="1">
      <c r="A1" s="20" t="inlineStr">
        <is>
          <t>Histórico de Estimado, Vendido e Realizado</t>
        </is>
      </c>
    </row>
    <row r="2">
      <c r="A2" s="21" t="inlineStr">
        <is>
          <t>Use esta aba após fechar a proposta e ao longo da execução do projeto para comparar horas planejadas, vendidas e reais.</t>
        </is>
      </c>
    </row>
    <row r="4">
      <c r="A4" s="5" t="inlineStr">
        <is>
          <t>Projeto</t>
        </is>
      </c>
      <c r="B4" s="19">
        <f>Calculadora!B5</f>
        <v/>
      </c>
      <c r="D4" s="5" t="inlineStr">
        <is>
          <t>Cenário vendido</t>
        </is>
      </c>
      <c r="E4" s="19">
        <f>Calculadora!B14</f>
        <v/>
      </c>
      <c r="G4" s="5" t="inlineStr">
        <is>
          <t>Preço vendido</t>
        </is>
      </c>
      <c r="H4" s="14">
        <f>Calculadora!B38</f>
        <v/>
      </c>
    </row>
    <row r="6">
      <c r="A6" s="22" t="inlineStr">
        <is>
          <t>Etapa</t>
        </is>
      </c>
      <c r="B6" s="22" t="inlineStr">
        <is>
          <t>Horas estimadas</t>
        </is>
      </c>
      <c r="C6" s="22" t="inlineStr">
        <is>
          <t>Horas vendidas</t>
        </is>
      </c>
      <c r="D6" s="22" t="inlineStr">
        <is>
          <t>Horas reais</t>
        </is>
      </c>
      <c r="E6" s="22" t="inlineStr">
        <is>
          <t>Desvio vendido x estimado</t>
        </is>
      </c>
      <c r="F6" s="22" t="inlineStr">
        <is>
          <t>Desvio real x vendido</t>
        </is>
      </c>
      <c r="G6" s="22" t="inlineStr">
        <is>
          <t>Valor/h base</t>
        </is>
      </c>
      <c r="H6" s="22" t="inlineStr">
        <is>
          <t>Valor vendido da etapa</t>
        </is>
      </c>
      <c r="I6" s="22" t="inlineStr">
        <is>
          <t>Custo real pela etapa</t>
        </is>
      </c>
      <c r="J6" s="22" t="inlineStr">
        <is>
          <t>Saldo por etapa</t>
        </is>
      </c>
    </row>
    <row r="7">
      <c r="A7" s="12">
        <f>Calculadora!A18</f>
        <v/>
      </c>
      <c r="B7" s="15">
        <f>Calculadora!B18</f>
        <v/>
      </c>
      <c r="C7" s="13">
        <f>B7</f>
        <v/>
      </c>
      <c r="D7" s="13" t="n">
        <v>0</v>
      </c>
      <c r="E7" s="15">
        <f>C7-B7</f>
        <v/>
      </c>
      <c r="F7" s="15">
        <f>D7-C7</f>
        <v/>
      </c>
      <c r="G7" s="14">
        <f>Calculadora!C18</f>
        <v/>
      </c>
      <c r="H7" s="14">
        <f>C7*G7</f>
        <v/>
      </c>
      <c r="I7" s="14">
        <f>D7*G7</f>
        <v/>
      </c>
      <c r="J7" s="14">
        <f>H7-I7</f>
        <v/>
      </c>
    </row>
    <row r="8">
      <c r="A8" s="12">
        <f>Calculadora!A19</f>
        <v/>
      </c>
      <c r="B8" s="15">
        <f>Calculadora!B19</f>
        <v/>
      </c>
      <c r="C8" s="13">
        <f>B8</f>
        <v/>
      </c>
      <c r="D8" s="13" t="n">
        <v>0</v>
      </c>
      <c r="E8" s="15">
        <f>C8-B8</f>
        <v/>
      </c>
      <c r="F8" s="15">
        <f>D8-C8</f>
        <v/>
      </c>
      <c r="G8" s="14">
        <f>Calculadora!C19</f>
        <v/>
      </c>
      <c r="H8" s="14">
        <f>C8*G8</f>
        <v/>
      </c>
      <c r="I8" s="14">
        <f>D8*G8</f>
        <v/>
      </c>
      <c r="J8" s="14">
        <f>H8-I8</f>
        <v/>
      </c>
    </row>
    <row r="9">
      <c r="A9" s="12">
        <f>Calculadora!A20</f>
        <v/>
      </c>
      <c r="B9" s="15">
        <f>Calculadora!B20</f>
        <v/>
      </c>
      <c r="C9" s="13">
        <f>B9</f>
        <v/>
      </c>
      <c r="D9" s="13" t="n">
        <v>0</v>
      </c>
      <c r="E9" s="15">
        <f>C9-B9</f>
        <v/>
      </c>
      <c r="F9" s="15">
        <f>D9-C9</f>
        <v/>
      </c>
      <c r="G9" s="14">
        <f>Calculadora!C20</f>
        <v/>
      </c>
      <c r="H9" s="14">
        <f>C9*G9</f>
        <v/>
      </c>
      <c r="I9" s="14">
        <f>D9*G9</f>
        <v/>
      </c>
      <c r="J9" s="14">
        <f>H9-I9</f>
        <v/>
      </c>
    </row>
    <row r="10">
      <c r="A10" s="12">
        <f>Calculadora!A21</f>
        <v/>
      </c>
      <c r="B10" s="15">
        <f>Calculadora!B21</f>
        <v/>
      </c>
      <c r="C10" s="13">
        <f>B10</f>
        <v/>
      </c>
      <c r="D10" s="13" t="n">
        <v>0</v>
      </c>
      <c r="E10" s="15">
        <f>C10-B10</f>
        <v/>
      </c>
      <c r="F10" s="15">
        <f>D10-C10</f>
        <v/>
      </c>
      <c r="G10" s="14">
        <f>Calculadora!C21</f>
        <v/>
      </c>
      <c r="H10" s="14">
        <f>C10*G10</f>
        <v/>
      </c>
      <c r="I10" s="14">
        <f>D10*G10</f>
        <v/>
      </c>
      <c r="J10" s="14">
        <f>H10-I10</f>
        <v/>
      </c>
    </row>
    <row r="11">
      <c r="A11" s="12">
        <f>Calculadora!A22</f>
        <v/>
      </c>
      <c r="B11" s="15">
        <f>Calculadora!B22</f>
        <v/>
      </c>
      <c r="C11" s="13">
        <f>B11</f>
        <v/>
      </c>
      <c r="D11" s="13" t="n">
        <v>0</v>
      </c>
      <c r="E11" s="15">
        <f>C11-B11</f>
        <v/>
      </c>
      <c r="F11" s="15">
        <f>D11-C11</f>
        <v/>
      </c>
      <c r="G11" s="14">
        <f>Calculadora!C22</f>
        <v/>
      </c>
      <c r="H11" s="14">
        <f>C11*G11</f>
        <v/>
      </c>
      <c r="I11" s="14">
        <f>D11*G11</f>
        <v/>
      </c>
      <c r="J11" s="14">
        <f>H11-I11</f>
        <v/>
      </c>
    </row>
    <row r="12">
      <c r="A12" s="12">
        <f>Calculadora!A23</f>
        <v/>
      </c>
      <c r="B12" s="15">
        <f>Calculadora!B23</f>
        <v/>
      </c>
      <c r="C12" s="13">
        <f>B12</f>
        <v/>
      </c>
      <c r="D12" s="13" t="n">
        <v>0</v>
      </c>
      <c r="E12" s="15">
        <f>C12-B12</f>
        <v/>
      </c>
      <c r="F12" s="15">
        <f>D12-C12</f>
        <v/>
      </c>
      <c r="G12" s="14">
        <f>Calculadora!C23</f>
        <v/>
      </c>
      <c r="H12" s="14">
        <f>C12*G12</f>
        <v/>
      </c>
      <c r="I12" s="14">
        <f>D12*G12</f>
        <v/>
      </c>
      <c r="J12" s="14">
        <f>H12-I12</f>
        <v/>
      </c>
    </row>
    <row r="13">
      <c r="A13" s="12">
        <f>Calculadora!A24</f>
        <v/>
      </c>
      <c r="B13" s="15">
        <f>Calculadora!B24</f>
        <v/>
      </c>
      <c r="C13" s="13">
        <f>B13</f>
        <v/>
      </c>
      <c r="D13" s="13" t="n">
        <v>0</v>
      </c>
      <c r="E13" s="15">
        <f>C13-B13</f>
        <v/>
      </c>
      <c r="F13" s="15">
        <f>D13-C13</f>
        <v/>
      </c>
      <c r="G13" s="14">
        <f>Calculadora!C24</f>
        <v/>
      </c>
      <c r="H13" s="14">
        <f>C13*G13</f>
        <v/>
      </c>
      <c r="I13" s="14">
        <f>D13*G13</f>
        <v/>
      </c>
      <c r="J13" s="14">
        <f>H13-I13</f>
        <v/>
      </c>
    </row>
    <row r="16">
      <c r="A16" s="31" t="inlineStr">
        <is>
          <t>Totais</t>
        </is>
      </c>
      <c r="B16" s="32">
        <f>SUM(B7:B13)</f>
        <v/>
      </c>
      <c r="C16" s="32">
        <f>SUM(C7:C13)</f>
        <v/>
      </c>
      <c r="D16" s="32">
        <f>SUM(D7:D13)</f>
        <v/>
      </c>
      <c r="H16" s="33">
        <f>SUM(H7:H13)</f>
        <v/>
      </c>
      <c r="I16" s="33">
        <f>SUM(I7:I13)</f>
        <v/>
      </c>
      <c r="J16" s="33">
        <f>SUM(J7:J13)</f>
        <v/>
      </c>
    </row>
    <row r="18">
      <c r="A18" s="5" t="inlineStr">
        <is>
          <t>Leitura rápida</t>
        </is>
      </c>
      <c r="B18" s="17" t="inlineStr">
        <is>
          <t>Use `Horas vendidas` para refletir o que foi de fato combinado com o cliente. Use `Horas reais` ao longo da execução. O saldo por etapa ajuda a identificar onde o projeto ganhou ou perdeu margem operacional.</t>
        </is>
      </c>
    </row>
  </sheetData>
  <mergeCells count="2">
    <mergeCell ref="A1:J1"/>
    <mergeCell ref="B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4" max="4"/>
    <col width="14" customWidth="1" min="5" max="5"/>
    <col width="16" customWidth="1" min="7" max="7"/>
    <col width="14" customWidth="1" min="8" max="8"/>
    <col width="18" customWidth="1" min="10" max="10"/>
    <col width="14" customWidth="1" min="11" max="11"/>
    <col width="20" customWidth="1" min="13" max="13"/>
    <col width="14" customWidth="1" min="14" max="14"/>
    <col width="34" customWidth="1" min="16" max="16"/>
    <col width="16" customWidth="1" min="17" max="17"/>
    <col width="16" customWidth="1" min="18" max="18"/>
    <col width="16" customWidth="1" min="20" max="20"/>
    <col width="14" customWidth="1" min="21" max="21"/>
    <col width="46" customWidth="1" min="22" max="22"/>
    <col width="18" customWidth="1" min="24" max="24"/>
    <col width="12" customWidth="1" min="25" max="25"/>
    <col width="12" customWidth="1" min="26" max="26"/>
    <col width="46" customWidth="1" min="27" max="27"/>
    <col width="14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34" t="inlineStr">
        <is>
          <t>Parâmetros da Calculadora de Precificação</t>
        </is>
      </c>
    </row>
    <row r="2">
      <c r="A2" s="35" t="inlineStr">
        <is>
          <t>Edite esta aba apenas quando as regras internas da RITO forem formalmente revisadas.</t>
        </is>
      </c>
    </row>
    <row r="4">
      <c r="A4" s="22" t="inlineStr">
        <is>
          <t>Etapa</t>
        </is>
      </c>
      <c r="B4" s="22" t="inlineStr">
        <is>
          <t>Valor/hora base</t>
        </is>
      </c>
      <c r="D4" s="22" t="inlineStr">
        <is>
          <t>Complexidade</t>
        </is>
      </c>
      <c r="E4" s="22" t="inlineStr">
        <is>
          <t>Multiplicador</t>
        </is>
      </c>
      <c r="G4" s="22" t="inlineStr">
        <is>
          <t>Urgência</t>
        </is>
      </c>
      <c r="H4" s="22" t="inlineStr">
        <is>
          <t>Multiplicador</t>
        </is>
      </c>
      <c r="J4" s="22" t="inlineStr">
        <is>
          <t>Integrações</t>
        </is>
      </c>
      <c r="K4" s="22" t="inlineStr">
        <is>
          <t>Multiplicador</t>
        </is>
      </c>
      <c r="M4" s="22" t="inlineStr">
        <is>
          <t>Documentação extra</t>
        </is>
      </c>
      <c r="N4" s="22" t="inlineStr">
        <is>
          <t>Multiplicador</t>
        </is>
      </c>
      <c r="P4" s="22" t="inlineStr">
        <is>
          <t>Tipo de serviço</t>
        </is>
      </c>
      <c r="Q4" s="22" t="inlineStr">
        <is>
          <t>Faixa mínima</t>
        </is>
      </c>
      <c r="R4" s="22" t="inlineStr">
        <is>
          <t>Faixa máxima</t>
        </is>
      </c>
      <c r="T4" s="22" t="inlineStr">
        <is>
          <t>Pacote</t>
        </is>
      </c>
      <c r="U4" s="22" t="inlineStr">
        <is>
          <t>Multiplicador</t>
        </is>
      </c>
      <c r="V4" s="22" t="inlineStr">
        <is>
          <t>Descrição</t>
        </is>
      </c>
      <c r="X4" s="22" t="inlineStr">
        <is>
          <t>Cenário</t>
        </is>
      </c>
      <c r="Y4" s="22" t="inlineStr">
        <is>
          <t>Margem</t>
        </is>
      </c>
      <c r="Z4" s="22" t="inlineStr">
        <is>
          <t>Multiplicador</t>
        </is>
      </c>
      <c r="AA4" s="22" t="inlineStr">
        <is>
          <t>Uso sugerido</t>
        </is>
      </c>
      <c r="AC4" s="22" t="inlineStr">
        <is>
          <t>Modelo</t>
        </is>
      </c>
      <c r="AD4" s="22" t="inlineStr">
        <is>
          <t>Parcela 1</t>
        </is>
      </c>
      <c r="AE4" s="22" t="inlineStr">
        <is>
          <t>Parcela 2</t>
        </is>
      </c>
      <c r="AF4" s="22" t="inlineStr">
        <is>
          <t>Parcela 3</t>
        </is>
      </c>
      <c r="AG4" s="22" t="inlineStr">
        <is>
          <t>Parcela 4</t>
        </is>
      </c>
    </row>
    <row r="5">
      <c r="A5" s="12" t="inlineStr">
        <is>
          <t>Análise e descoberta</t>
        </is>
      </c>
      <c r="B5" s="36" t="n">
        <v>150</v>
      </c>
      <c r="D5" s="12" t="inlineStr">
        <is>
          <t>Baixa</t>
        </is>
      </c>
      <c r="E5" s="37" t="n">
        <v>0.95</v>
      </c>
      <c r="G5" s="12" t="inlineStr">
        <is>
          <t>Normal</t>
        </is>
      </c>
      <c r="H5" s="37" t="n">
        <v>1</v>
      </c>
      <c r="J5" s="12" t="inlineStr">
        <is>
          <t>Nenhuma</t>
        </is>
      </c>
      <c r="K5" s="37" t="n">
        <v>1</v>
      </c>
      <c r="M5" s="12" t="inlineStr">
        <is>
          <t>Não</t>
        </is>
      </c>
      <c r="N5" s="37" t="n">
        <v>1</v>
      </c>
      <c r="P5" s="12" t="inlineStr">
        <is>
          <t>Automação simples</t>
        </is>
      </c>
      <c r="Q5" s="36" t="n">
        <v>800</v>
      </c>
      <c r="R5" s="36" t="n">
        <v>2500</v>
      </c>
      <c r="T5" s="12" t="inlineStr">
        <is>
          <t>Essencial</t>
        </is>
      </c>
      <c r="U5" s="37" t="n">
        <v>0.92</v>
      </c>
      <c r="V5" s="17" t="inlineStr">
        <is>
          <t>Projetos enxutos, escopo mais direto e risco baixo.</t>
        </is>
      </c>
      <c r="X5" s="12" t="inlineStr">
        <is>
          <t>Mínimo defensável</t>
        </is>
      </c>
      <c r="Y5" s="38" t="n">
        <v>0.1</v>
      </c>
      <c r="Z5" s="37" t="n">
        <v>1</v>
      </c>
      <c r="AA5" s="17" t="inlineStr">
        <is>
          <t>Protege margem mínima sem subprecificar.</t>
        </is>
      </c>
      <c r="AC5" s="12" t="inlineStr">
        <is>
          <t>2 marcos</t>
        </is>
      </c>
      <c r="AD5" s="38" t="n">
        <v>0.5</v>
      </c>
      <c r="AE5" s="38" t="n">
        <v>0.5</v>
      </c>
      <c r="AF5" s="38" t="n">
        <v>0</v>
      </c>
      <c r="AG5" s="38" t="n">
        <v>0</v>
      </c>
    </row>
    <row r="6">
      <c r="A6" s="12" t="inlineStr">
        <is>
          <t>Planejamento da solução</t>
        </is>
      </c>
      <c r="B6" s="36" t="n">
        <v>150</v>
      </c>
      <c r="D6" s="12" t="inlineStr">
        <is>
          <t>Média</t>
        </is>
      </c>
      <c r="E6" s="37" t="n">
        <v>1</v>
      </c>
      <c r="G6" s="12" t="inlineStr">
        <is>
          <t>Alta</t>
        </is>
      </c>
      <c r="H6" s="37" t="n">
        <v>1.1</v>
      </c>
      <c r="J6" s="12" t="inlineStr">
        <is>
          <t>Simples</t>
        </is>
      </c>
      <c r="K6" s="37" t="n">
        <v>1.08</v>
      </c>
      <c r="M6" s="12" t="inlineStr">
        <is>
          <t>Sim</t>
        </is>
      </c>
      <c r="N6" s="37" t="n">
        <v>1.05</v>
      </c>
      <c r="P6" s="12" t="inlineStr">
        <is>
          <t>Automação com integração</t>
        </is>
      </c>
      <c r="Q6" s="36" t="n">
        <v>1800</v>
      </c>
      <c r="R6" s="36" t="n">
        <v>4500</v>
      </c>
      <c r="T6" s="12" t="inlineStr">
        <is>
          <t>Operacional</t>
        </is>
      </c>
      <c r="U6" s="37" t="n">
        <v>1</v>
      </c>
      <c r="V6" s="17" t="inlineStr">
        <is>
          <t>Base padrão da RITO para propostas equilibradas.</t>
        </is>
      </c>
      <c r="X6" s="12" t="inlineStr">
        <is>
          <t>Ideal comercial</t>
        </is>
      </c>
      <c r="Y6" s="38" t="n">
        <v>0.15</v>
      </c>
      <c r="Z6" s="37" t="n">
        <v>1</v>
      </c>
      <c r="AA6" s="17" t="inlineStr">
        <is>
          <t>Referência principal para a maior parte das propostas.</t>
        </is>
      </c>
      <c r="AC6" s="12" t="inlineStr">
        <is>
          <t>3 marcos</t>
        </is>
      </c>
      <c r="AD6" s="38" t="n">
        <v>0.4</v>
      </c>
      <c r="AE6" s="38" t="n">
        <v>0.3</v>
      </c>
      <c r="AF6" s="38" t="n">
        <v>0.3</v>
      </c>
      <c r="AG6" s="38" t="n">
        <v>0</v>
      </c>
    </row>
    <row r="7">
      <c r="A7" s="12" t="inlineStr">
        <is>
          <t>Desenvolvimento</t>
        </is>
      </c>
      <c r="B7" s="36" t="n">
        <v>180</v>
      </c>
      <c r="D7" s="12" t="inlineStr">
        <is>
          <t>Alta</t>
        </is>
      </c>
      <c r="E7" s="37" t="n">
        <v>1.15</v>
      </c>
      <c r="G7" s="12" t="inlineStr">
        <is>
          <t>Crítica</t>
        </is>
      </c>
      <c r="H7" s="37" t="n">
        <v>1.2</v>
      </c>
      <c r="J7" s="12" t="inlineStr">
        <is>
          <t>Múltiplas</t>
        </is>
      </c>
      <c r="K7" s="37" t="n">
        <v>1.15</v>
      </c>
      <c r="P7" s="12" t="inlineStr">
        <is>
          <t>Painel ou controle interno simples</t>
        </is>
      </c>
      <c r="Q7" s="36" t="n">
        <v>2500</v>
      </c>
      <c r="R7" s="36" t="n">
        <v>6000</v>
      </c>
      <c r="T7" s="12" t="inlineStr">
        <is>
          <t>Sob Medida</t>
        </is>
      </c>
      <c r="U7" s="37" t="n">
        <v>1.12</v>
      </c>
      <c r="V7" s="17" t="inlineStr">
        <is>
          <t>Projetos com maior personalização, criticidade ou responsabilidade.</t>
        </is>
      </c>
      <c r="X7" s="12" t="inlineStr">
        <is>
          <t>Premium estratégico</t>
        </is>
      </c>
      <c r="Y7" s="38" t="n">
        <v>0.22</v>
      </c>
      <c r="Z7" s="37" t="n">
        <v>1.06</v>
      </c>
      <c r="AA7" s="17" t="inlineStr">
        <is>
          <t>Aplicável quando há alto valor percebido, risco ou urgência relevante.</t>
        </is>
      </c>
      <c r="AC7" s="12" t="inlineStr">
        <is>
          <t>4 marcos</t>
        </is>
      </c>
      <c r="AD7" s="38" t="n">
        <v>0.3</v>
      </c>
      <c r="AE7" s="38" t="n">
        <v>0.25</v>
      </c>
      <c r="AF7" s="38" t="n">
        <v>0.25</v>
      </c>
      <c r="AG7" s="38" t="n">
        <v>0.2</v>
      </c>
    </row>
    <row r="8">
      <c r="A8" s="12" t="inlineStr">
        <is>
          <t>Testes e ajustes</t>
        </is>
      </c>
      <c r="B8" s="36" t="n">
        <v>180</v>
      </c>
      <c r="P8" s="12" t="inlineStr">
        <is>
          <t>Ferramenta operacional pequena</t>
        </is>
      </c>
      <c r="Q8" s="36" t="n">
        <v>4500</v>
      </c>
      <c r="R8" s="36" t="n">
        <v>9000</v>
      </c>
    </row>
    <row r="9">
      <c r="A9" s="12" t="inlineStr">
        <is>
          <t>Entrega e orientação</t>
        </is>
      </c>
      <c r="B9" s="36" t="n">
        <v>150</v>
      </c>
      <c r="P9" s="12" t="inlineStr">
        <is>
          <t>Sistema sob medida de pequeno porte</t>
        </is>
      </c>
      <c r="Q9" s="36" t="n">
        <v>8000</v>
      </c>
      <c r="R9" s="36" t="n">
        <v>18000</v>
      </c>
    </row>
    <row r="10">
      <c r="A10" s="12" t="inlineStr">
        <is>
          <t>Suporte inicial</t>
        </is>
      </c>
      <c r="B10" s="36" t="n">
        <v>180</v>
      </c>
      <c r="P10" s="12" t="inlineStr">
        <is>
          <t>Projeto médio com integrações</t>
        </is>
      </c>
      <c r="Q10" s="36" t="n">
        <v>15000</v>
      </c>
      <c r="R10" s="36" t="n">
        <v>35000</v>
      </c>
    </row>
    <row r="11">
      <c r="A11" s="12" t="inlineStr">
        <is>
          <t>Treinamento adicional</t>
        </is>
      </c>
      <c r="B11" s="36" t="n">
        <v>150</v>
      </c>
      <c r="J11" s="22" t="inlineStr">
        <is>
          <t>Parâmetro global</t>
        </is>
      </c>
      <c r="K11" s="22" t="inlineStr">
        <is>
          <t>Valor</t>
        </is>
      </c>
      <c r="P11" s="12" t="inlineStr">
        <is>
          <t>Evolução ou manutenção técnica</t>
        </is>
      </c>
      <c r="Q11" s="36" t="inlineStr"/>
      <c r="R11" s="36" t="inlineStr"/>
    </row>
    <row r="12">
      <c r="J12" s="12" t="inlineStr">
        <is>
          <t>Margem padrão</t>
        </is>
      </c>
      <c r="K12" s="38" t="n">
        <v>0.15</v>
      </c>
    </row>
    <row r="13">
      <c r="J13" s="12" t="inlineStr">
        <is>
          <t>Entrada sugerida</t>
        </is>
      </c>
      <c r="K13" s="38" t="n">
        <v>0.4</v>
      </c>
    </row>
    <row r="14">
      <c r="J14" s="12" t="inlineStr">
        <is>
          <t>Parcela intermediária</t>
        </is>
      </c>
      <c r="K14" s="38" t="n">
        <v>0.3</v>
      </c>
    </row>
    <row r="15">
      <c r="J15" s="12" t="inlineStr">
        <is>
          <t>Saldo final</t>
        </is>
      </c>
      <c r="K15" s="38" t="n">
        <v>0.3</v>
      </c>
    </row>
  </sheetData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2026-04-10T00:03:06Z</dcterms:created>
  <dcterms:modified xmlns:dcterms="http://purl.org/dc/terms/" xmlns:xsi="http://www.w3.org/2001/XMLSchema-instance" xsi:type="dcterms:W3CDTF">2026-04-10T00:03:06Z</dcterms:modified>
</cp:coreProperties>
</file>